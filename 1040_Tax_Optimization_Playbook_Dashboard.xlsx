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cklist+Sav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Guid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1040 Tax Optimization – Dashboard</t>
        </is>
      </c>
    </row>
    <row r="3">
      <c r="A3" t="inlineStr">
        <is>
          <t>Total Items</t>
        </is>
      </c>
      <c r="B3">
        <f>COUNTA('Checklist+Savings'!C:C)-1</f>
        <v/>
      </c>
    </row>
    <row r="4">
      <c r="A4" t="inlineStr">
        <is>
          <t>Total Estimated Savings (User Input)</t>
        </is>
      </c>
      <c r="B4">
        <f>SUM('Checklist+Savings'!F:F)</f>
        <v/>
      </c>
    </row>
    <row r="6">
      <c r="A6" t="inlineStr">
        <is>
          <t>Status Breakdown</t>
        </is>
      </c>
      <c r="D6" t="inlineStr">
        <is>
          <t>Priority Breakdown</t>
        </is>
      </c>
    </row>
    <row r="7">
      <c r="A7" t="inlineStr">
        <is>
          <t>Not Started</t>
        </is>
      </c>
      <c r="B7">
        <f>COUNTIF('Checklist+Savings'!J:J,"Not Started")</f>
        <v/>
      </c>
      <c r="D7" t="inlineStr">
        <is>
          <t>High (H)</t>
        </is>
      </c>
      <c r="E7">
        <f>COUNTIF('Checklist+Savings'!G:G,"H")</f>
        <v/>
      </c>
    </row>
    <row r="8">
      <c r="A8" t="inlineStr">
        <is>
          <t>In Progress</t>
        </is>
      </c>
      <c r="B8">
        <f>COUNTIF('Checklist+Savings'!J:J,"In Progress")</f>
        <v/>
      </c>
      <c r="D8" t="inlineStr">
        <is>
          <t>Medium (M)</t>
        </is>
      </c>
      <c r="E8">
        <f>COUNTIF('Checklist+Savings'!G:G,"M")</f>
        <v/>
      </c>
    </row>
    <row r="9">
      <c r="A9" t="inlineStr">
        <is>
          <t>Done</t>
        </is>
      </c>
      <c r="B9">
        <f>COUNTIF('Checklist+Savings'!J:J,"Done")</f>
        <v/>
      </c>
      <c r="D9" t="inlineStr">
        <is>
          <t>Low (L)</t>
        </is>
      </c>
      <c r="E9">
        <f>COUNTIF('Checklist+Savings'!G:G,"L")</f>
        <v/>
      </c>
    </row>
    <row r="12">
      <c r="A12" t="inlineStr">
        <is>
          <t>Section</t>
        </is>
      </c>
      <c r="B12" t="inlineStr">
        <is>
          <t>Items</t>
        </is>
      </c>
      <c r="C12" t="inlineStr">
        <is>
          <t>Estimated Savings Entered ($)</t>
        </is>
      </c>
    </row>
    <row r="13">
      <c r="A13" t="inlineStr">
        <is>
          <t>Additional Taxes &amp; Withholding</t>
        </is>
      </c>
      <c r="B13" t="n">
        <v>4</v>
      </c>
      <c r="C13" t="n">
        <v>0</v>
      </c>
    </row>
    <row r="14">
      <c r="A14" t="inlineStr">
        <is>
          <t>Adjustments to Income</t>
        </is>
      </c>
      <c r="B14" t="n">
        <v>6</v>
      </c>
      <c r="C14" t="n">
        <v>0</v>
      </c>
    </row>
    <row r="15">
      <c r="A15" t="inlineStr">
        <is>
          <t>Capital Gains &amp; Passive Planning</t>
        </is>
      </c>
      <c r="B15" t="n">
        <v>5</v>
      </c>
      <c r="C15" t="n">
        <v>0</v>
      </c>
    </row>
    <row r="16">
      <c r="A16" t="inlineStr">
        <is>
          <t>Credits</t>
        </is>
      </c>
      <c r="B16" t="n">
        <v>7</v>
      </c>
      <c r="C16" t="n">
        <v>0</v>
      </c>
    </row>
    <row r="17">
      <c r="A17" t="inlineStr">
        <is>
          <t>Deductions – Itemized vs Standard</t>
        </is>
      </c>
      <c r="B17" t="n">
        <v>6</v>
      </c>
      <c r="C17" t="n">
        <v>0</v>
      </c>
    </row>
    <row r="18">
      <c r="A18" t="inlineStr">
        <is>
          <t>Documentation</t>
        </is>
      </c>
      <c r="B18" t="n">
        <v>6</v>
      </c>
      <c r="C18" t="n">
        <v>0</v>
      </c>
    </row>
    <row r="19">
      <c r="A19" t="inlineStr">
        <is>
          <t>Filing Status &amp; Dependents</t>
        </is>
      </c>
      <c r="B19" t="n">
        <v>6</v>
      </c>
      <c r="C19" t="n">
        <v>0</v>
      </c>
    </row>
    <row r="20">
      <c r="A20" t="inlineStr">
        <is>
          <t>Future-Year Planning</t>
        </is>
      </c>
      <c r="B20" t="n">
        <v>4</v>
      </c>
      <c r="C20" t="n">
        <v>0</v>
      </c>
    </row>
    <row r="21">
      <c r="A21" t="inlineStr">
        <is>
          <t>Holistic Review</t>
        </is>
      </c>
      <c r="B21" t="n">
        <v>4</v>
      </c>
      <c r="C21" t="n">
        <v>0</v>
      </c>
    </row>
    <row r="22">
      <c r="A22" t="inlineStr">
        <is>
          <t>Income – Investments</t>
        </is>
      </c>
      <c r="B22" t="n">
        <v>6</v>
      </c>
      <c r="C22" t="n">
        <v>0</v>
      </c>
    </row>
    <row r="23">
      <c r="A23" t="inlineStr">
        <is>
          <t>Income – Wages &amp; Self-Employment</t>
        </is>
      </c>
      <c r="B23" t="n">
        <v>7</v>
      </c>
      <c r="C23" t="n">
        <v>0</v>
      </c>
    </row>
    <row r="24">
      <c r="A24" t="inlineStr">
        <is>
          <t>Red Flags &amp; Reconciliations</t>
        </is>
      </c>
      <c r="B24" t="n">
        <v>4</v>
      </c>
      <c r="C24" t="n">
        <v>0</v>
      </c>
    </row>
    <row r="25">
      <c r="A25" t="inlineStr">
        <is>
          <t>Retirement &amp; Estate</t>
        </is>
      </c>
      <c r="B25" t="n">
        <v>6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 #</t>
        </is>
      </c>
      <c r="C1" s="1" t="inlineStr">
        <is>
          <t>Question</t>
        </is>
      </c>
      <c r="D1" s="1" t="inlineStr">
        <is>
          <t>Answer / Findings</t>
        </is>
      </c>
      <c r="E1" s="1" t="inlineStr">
        <is>
          <t>Action Taken</t>
        </is>
      </c>
      <c r="F1" s="1" t="inlineStr">
        <is>
          <t>Estimated Savings ($)</t>
        </is>
      </c>
      <c r="G1" s="1" t="inlineStr">
        <is>
          <t>Priority (H/M/L)</t>
        </is>
      </c>
      <c r="H1" s="1" t="inlineStr">
        <is>
          <t>Owner</t>
        </is>
      </c>
      <c r="I1" s="1" t="inlineStr">
        <is>
          <t>Due Date</t>
        </is>
      </c>
      <c r="J1" s="1" t="inlineStr">
        <is>
          <t>Status (Not Started / In Progress / Done)</t>
        </is>
      </c>
      <c r="K1" s="1" t="inlineStr">
        <is>
          <t>Notes</t>
        </is>
      </c>
      <c r="L1" s="1" t="inlineStr">
        <is>
          <t>Docs / Proof Collected</t>
        </is>
      </c>
      <c r="M1" s="1" t="inlineStr">
        <is>
          <t>Common Oversight</t>
        </is>
      </c>
      <c r="N1" s="1" t="inlineStr">
        <is>
          <t>Typical Potential Savings ($ Range)</t>
        </is>
      </c>
      <c r="O1" t="inlineStr">
        <is>
          <t>TOTAL ESTIMATED SAVINGS ($)</t>
        </is>
      </c>
      <c r="P1">
        <f>SUM(F:F)</f>
        <v/>
      </c>
    </row>
    <row r="2">
      <c r="A2" t="inlineStr">
        <is>
          <t>Holistic Review</t>
        </is>
      </c>
      <c r="B2" t="n">
        <v>1</v>
      </c>
      <c r="C2" t="inlineStr">
        <is>
          <t>Have all relevant schedules (A, B, C, D, E, SE), W-2s, 1099s, 1098s, K-1s, and brokerage statements been collected and reconciled?</t>
        </is>
      </c>
      <c r="M2" t="inlineStr">
        <is>
          <t>Missing statements or unreconciled 1099/1098/K‑1 items leading to CP2000 notices.</t>
        </is>
      </c>
      <c r="N2" t="inlineStr">
        <is>
          <t>$200–$3,000 (penalties avoided)</t>
        </is>
      </c>
    </row>
    <row r="3">
      <c r="A3" t="inlineStr">
        <is>
          <t>Holistic Review</t>
        </is>
      </c>
      <c r="B3" t="n">
        <v>2</v>
      </c>
      <c r="C3" t="inlineStr">
        <is>
          <t>Do totals across schedules agree to Form 1040 (e.g., wages, interest, dividends, capital gains, business income, rentals)?</t>
        </is>
      </c>
      <c r="M3" t="inlineStr">
        <is>
          <t>Numbers don’t tie across schedules; software overrides hide mismatches.</t>
        </is>
      </c>
      <c r="N3" t="inlineStr">
        <is>
          <t>$300–$2,000 (accuracy, penalties avoided)</t>
        </is>
      </c>
    </row>
    <row r="4">
      <c r="A4" t="inlineStr">
        <is>
          <t>Holistic Review</t>
        </is>
      </c>
      <c r="B4" t="n">
        <v>3</v>
      </c>
      <c r="C4" t="inlineStr">
        <is>
          <t>Are there any mismatches between taxpayer records and IRS documents (CP2000 risk)?</t>
        </is>
      </c>
      <c r="M4" t="inlineStr">
        <is>
          <t>Underreported income from 1099‑B or 1099‑INT not captured.</t>
        </is>
      </c>
      <c r="N4" t="inlineStr">
        <is>
          <t>$500–$5,000 (tax/penalty avoidance)</t>
        </is>
      </c>
    </row>
    <row r="5">
      <c r="A5" t="inlineStr">
        <is>
          <t>Holistic Review</t>
        </is>
      </c>
      <c r="B5" t="n">
        <v>4</v>
      </c>
      <c r="C5" t="inlineStr">
        <is>
          <t>Have prior-year carryforwards (NOLs, capital losses, passive losses, education credits) been identified and applied?</t>
        </is>
      </c>
      <c r="M5" t="inlineStr">
        <is>
          <t>Capital loss/credit carryforwards not rolled forward year to year.</t>
        </is>
      </c>
      <c r="N5" t="inlineStr">
        <is>
          <t>$300–$3,000/yr</t>
        </is>
      </c>
    </row>
    <row r="6">
      <c r="A6" t="inlineStr">
        <is>
          <t>Filing Status &amp; Dependents</t>
        </is>
      </c>
      <c r="B6" t="n">
        <v>5</v>
      </c>
      <c r="C6" t="inlineStr">
        <is>
          <t>Is the current filing status correct (Single, MFJ, MFS, HOH, QW)?</t>
        </is>
      </c>
      <c r="M6" t="inlineStr">
        <is>
          <t>Using Single/MFJ when HOH/QW applies.</t>
        </is>
      </c>
      <c r="N6" t="inlineStr">
        <is>
          <t>$1,500–$4,000</t>
        </is>
      </c>
    </row>
    <row r="7">
      <c r="A7" t="inlineStr">
        <is>
          <t>Filing Status &amp; Dependents</t>
        </is>
      </c>
      <c r="B7" t="n">
        <v>6</v>
      </c>
      <c r="C7" t="inlineStr">
        <is>
          <t>Does the taxpayer qualify for Head of Household (support + qualifying person + household tests)?</t>
        </is>
      </c>
      <c r="M7" t="inlineStr">
        <is>
          <t>Support/residency tests assumed not met, leaving money on the table.</t>
        </is>
      </c>
      <c r="N7" t="inlineStr">
        <is>
          <t>$1,500–$3,500</t>
        </is>
      </c>
    </row>
    <row r="8">
      <c r="A8" t="inlineStr">
        <is>
          <t>Filing Status &amp; Dependents</t>
        </is>
      </c>
      <c r="B8" t="n">
        <v>7</v>
      </c>
      <c r="C8" t="inlineStr">
        <is>
          <t>Would Married Filing Separately lower tax (e.g., medical, student loans, AMT)?</t>
        </is>
      </c>
      <c r="M8" t="inlineStr">
        <is>
          <t>Not modeling MFS when medical/AMT/student loans favor it.</t>
        </is>
      </c>
      <c r="N8" t="inlineStr">
        <is>
          <t>$500–$2,500</t>
        </is>
      </c>
    </row>
    <row r="9">
      <c r="A9" t="inlineStr">
        <is>
          <t>Filing Status &amp; Dependents</t>
        </is>
      </c>
      <c r="B9" t="n">
        <v>8</v>
      </c>
      <c r="C9" t="inlineStr">
        <is>
          <t>Are all dependents properly claimed (relationship, age, residency, support tests met)?</t>
        </is>
      </c>
      <c r="M9" t="inlineStr">
        <is>
          <t>Qualifying relative not claimed; custody/support misapplied.</t>
        </is>
      </c>
      <c r="N9" t="inlineStr">
        <is>
          <t>$500–$2,000 per dependent</t>
        </is>
      </c>
    </row>
    <row r="10">
      <c r="A10" t="inlineStr">
        <is>
          <t>Filing Status &amp; Dependents</t>
        </is>
      </c>
      <c r="B10" t="n">
        <v>9</v>
      </c>
      <c r="C10" t="inlineStr">
        <is>
          <t>Are any dependents eligible for Child Tax Credit or Other Dependent Credit this year?</t>
        </is>
      </c>
      <c r="M10" t="inlineStr">
        <is>
          <t>Phase‑out thresholds misunderstood; credit not optimized.</t>
        </is>
      </c>
      <c r="N10" t="inlineStr">
        <is>
          <t>$1,000–$2,000 per child</t>
        </is>
      </c>
    </row>
    <row r="11">
      <c r="A11" t="inlineStr">
        <is>
          <t>Filing Status &amp; Dependents</t>
        </is>
      </c>
      <c r="B11" t="n">
        <v>10</v>
      </c>
      <c r="C11" t="inlineStr">
        <is>
          <t>Are education credits (AOTC or Lifetime Learning) available for any student dependents?</t>
        </is>
      </c>
      <c r="M11" t="inlineStr">
        <is>
          <t>AOTC/LLC not coordinated with 529 plan distributions.</t>
        </is>
      </c>
      <c r="N11" t="inlineStr">
        <is>
          <t>Up to $2,500 per student</t>
        </is>
      </c>
    </row>
    <row r="12">
      <c r="A12" t="inlineStr">
        <is>
          <t>Income – Wages &amp; Self-Employment</t>
        </is>
      </c>
      <c r="B12" t="n">
        <v>11</v>
      </c>
      <c r="C12" t="inlineStr">
        <is>
          <t>Do W-2 Box 12 codes show room to increase pre-tax 401(k)/403(b)/457 contributions next year?</t>
        </is>
      </c>
      <c r="M12" t="inlineStr">
        <is>
          <t>401(k)/403(b) deferrals below limit; catch‑ups missed.</t>
        </is>
      </c>
      <c r="N12" t="inlineStr">
        <is>
          <t>$500–$4,000</t>
        </is>
      </c>
    </row>
    <row r="13">
      <c r="A13" t="inlineStr">
        <is>
          <t>Income – Wages &amp; Self-Employment</t>
        </is>
      </c>
      <c r="B13" t="n">
        <v>12</v>
      </c>
      <c r="C13" t="inlineStr">
        <is>
          <t>Is an HSA offered/eligible via HDHP, and were contributions maximized?</t>
        </is>
      </c>
      <c r="M13" t="inlineStr">
        <is>
          <t>HSA eligible but no contributions; spouse HDHP coordination missed.</t>
        </is>
      </c>
      <c r="N13" t="inlineStr">
        <is>
          <t>$500–$1,800</t>
        </is>
      </c>
    </row>
    <row r="14">
      <c r="A14" t="inlineStr">
        <is>
          <t>Income – Wages &amp; Self-Employment</t>
        </is>
      </c>
      <c r="B14" t="n">
        <v>13</v>
      </c>
      <c r="C14" t="inlineStr">
        <is>
          <t>For self-employment (Schedule C), are all ordinary &amp; necessary expenses captured (home office, internet, phone, insurance)?</t>
        </is>
      </c>
      <c r="M14" t="inlineStr">
        <is>
          <t>Under‑captured ordinary &amp; necessary expenses.</t>
        </is>
      </c>
      <c r="N14" t="inlineStr">
        <is>
          <t>$1,000–$5,000</t>
        </is>
      </c>
    </row>
    <row r="15">
      <c r="A15" t="inlineStr">
        <is>
          <t>Income – Wages &amp; Self-Employment</t>
        </is>
      </c>
      <c r="B15" t="n">
        <v>14</v>
      </c>
      <c r="C15" t="inlineStr">
        <is>
          <t>Has vehicle mileage or actual expense been properly documented and chosen for optimal deduction?</t>
        </is>
      </c>
      <c r="M15" t="inlineStr">
        <is>
          <t>No contemporaneous log; suboptimal method (std vs actual).</t>
        </is>
      </c>
      <c r="N15" t="inlineStr">
        <is>
          <t>$500–$2,000</t>
        </is>
      </c>
    </row>
    <row r="16">
      <c r="A16" t="inlineStr">
        <is>
          <t>Income – Wages &amp; Self-Employment</t>
        </is>
      </c>
      <c r="B16" t="n">
        <v>15</v>
      </c>
      <c r="C16" t="inlineStr">
        <is>
          <t>Is depreciation (incl. Section 179/bonus) properly computed for business assets?</t>
        </is>
      </c>
      <c r="M16" t="inlineStr">
        <is>
          <t>Missing §179/bonus or wrong class life.</t>
        </is>
      </c>
      <c r="N16" t="inlineStr">
        <is>
          <t>$1,000–$10,000</t>
        </is>
      </c>
    </row>
    <row r="17">
      <c r="A17" t="inlineStr">
        <is>
          <t>Income – Wages &amp; Self-Employment</t>
        </is>
      </c>
      <c r="B17" t="n">
        <v>16</v>
      </c>
      <c r="C17" t="inlineStr">
        <is>
          <t>Would electing S-Corp (reasonable comp + distributions) reduce self-employment tax given current net income?</t>
        </is>
      </c>
      <c r="M17" t="inlineStr">
        <is>
          <t>Remaining Schedule C when S‑Corp could cut SE tax.</t>
        </is>
      </c>
      <c r="N17" t="inlineStr">
        <is>
          <t>$5,000–$15,000</t>
        </is>
      </c>
    </row>
    <row r="18">
      <c r="A18" t="inlineStr">
        <is>
          <t>Income – Wages &amp; Self-Employment</t>
        </is>
      </c>
      <c r="B18" t="n">
        <v>17</v>
      </c>
      <c r="C18" t="inlineStr">
        <is>
          <t>Are quarterly estimated taxes aligned with safe-harbor rules to avoid penalties?</t>
        </is>
      </c>
      <c r="M18" t="inlineStr">
        <is>
          <t>Underpaying estimates; penalties not modeled.</t>
        </is>
      </c>
      <c r="N18" t="inlineStr">
        <is>
          <t>$200–$1,000 (penalties avoided)</t>
        </is>
      </c>
    </row>
    <row r="19">
      <c r="A19" t="inlineStr">
        <is>
          <t>Income – Investments</t>
        </is>
      </c>
      <c r="B19" t="n">
        <v>18</v>
      </c>
      <c r="C19" t="inlineStr">
        <is>
          <t>Are dividends correctly classified as qualified vs. ordinary for preferential rates?</t>
        </is>
      </c>
      <c r="M19" t="inlineStr">
        <is>
          <t>Broker coding errors or holding period fails.</t>
        </is>
      </c>
      <c r="N19" t="inlineStr">
        <is>
          <t>10–20% rate reduction on dividends</t>
        </is>
      </c>
    </row>
    <row r="20">
      <c r="A20" t="inlineStr">
        <is>
          <t>Income – Investments</t>
        </is>
      </c>
      <c r="B20" t="n">
        <v>19</v>
      </c>
      <c r="C20" t="inlineStr">
        <is>
          <t>Is capital gains activity reviewed for tax-loss harvesting opportunities?</t>
        </is>
      </c>
      <c r="M20" t="inlineStr">
        <is>
          <t>Not realizing losses to offset gains/ordinary income.</t>
        </is>
      </c>
      <c r="N20" t="inlineStr">
        <is>
          <t>$1,000–$3,000+/yr</t>
        </is>
      </c>
    </row>
    <row r="21">
      <c r="A21" t="inlineStr">
        <is>
          <t>Income – Investments</t>
        </is>
      </c>
      <c r="B21" t="n">
        <v>20</v>
      </c>
      <c r="C21" t="inlineStr">
        <is>
          <t>Are wash-sale rules being avoided when harvesting losses?</t>
        </is>
      </c>
      <c r="M21" t="inlineStr">
        <is>
          <t>Not realizing losses to offset gains/ordinary income.</t>
        </is>
      </c>
      <c r="N21" t="inlineStr">
        <is>
          <t>$1,000–$3,000+/yr</t>
        </is>
      </c>
    </row>
    <row r="22">
      <c r="A22" t="inlineStr">
        <is>
          <t>Income – Investments</t>
        </is>
      </c>
      <c r="B22" t="n">
        <v>21</v>
      </c>
      <c r="C22" t="inlineStr">
        <is>
          <t>Is high ordinary-interest income held in tax-advantaged accounts where possible?</t>
        </is>
      </c>
      <c r="M22" t="inlineStr">
        <is>
          <t>Holding high‑yield bonds/CDs in taxable accounts.</t>
        </is>
      </c>
      <c r="N22" t="inlineStr">
        <is>
          <t>$300–$2,000/yr</t>
        </is>
      </c>
    </row>
    <row r="23">
      <c r="A23" t="inlineStr">
        <is>
          <t>Income – Investments</t>
        </is>
      </c>
      <c r="B23" t="n">
        <v>22</v>
      </c>
      <c r="C23" t="inlineStr">
        <is>
          <t>Would municipal bonds be beneficial given current marginal tax rates?</t>
        </is>
      </c>
      <c r="M23" t="inlineStr">
        <is>
          <t>Assuming muni inferior without tax‑equivalent yield calc.</t>
        </is>
      </c>
      <c r="N23" t="inlineStr">
        <is>
          <t>$200–$1,500/yr</t>
        </is>
      </c>
    </row>
    <row r="24">
      <c r="A24" t="inlineStr">
        <is>
          <t>Income – Investments</t>
        </is>
      </c>
      <c r="B24" t="n">
        <v>23</v>
      </c>
      <c r="C24" t="inlineStr">
        <is>
          <t>Any opportunity to defer/roll gains into Qualified Opportunity Funds?</t>
        </is>
      </c>
      <c r="M24" t="inlineStr">
        <is>
          <t>Not deferring gains via QOF when timelines allow.</t>
        </is>
      </c>
      <c r="N24" t="inlineStr">
        <is>
          <t>$2,000–$25,000 deferral</t>
        </is>
      </c>
    </row>
    <row r="25">
      <c r="A25" t="inlineStr">
        <is>
          <t>Adjustments to Income</t>
        </is>
      </c>
      <c r="B25" t="n">
        <v>24</v>
      </c>
      <c r="C25" t="inlineStr">
        <is>
          <t>Have IRA/SEP/SIMPLE/Solo 401(k) contributions been maximized for eligibility and phase-outs?</t>
        </is>
      </c>
      <c r="M25" t="inlineStr">
        <is>
          <t>Contribution limits/phase‑outs misunderstood; late plan setup.</t>
        </is>
      </c>
      <c r="N25" t="inlineStr">
        <is>
          <t>$1,000–$10,000+ deferral</t>
        </is>
      </c>
    </row>
    <row r="26">
      <c r="A26" t="inlineStr">
        <is>
          <t>Adjustments to Income</t>
        </is>
      </c>
      <c r="B26" t="n">
        <v>25</v>
      </c>
      <c r="C26" t="inlineStr">
        <is>
          <t>Is student loan interest deduction available and properly claimed?</t>
        </is>
      </c>
      <c r="M26" t="inlineStr">
        <is>
          <t>Deduction missed due to filing status/income timing.</t>
        </is>
      </c>
      <c r="N26" t="inlineStr">
        <is>
          <t>$200–$600</t>
        </is>
      </c>
    </row>
    <row r="27">
      <c r="A27" t="inlineStr">
        <is>
          <t>Adjustments to Income</t>
        </is>
      </c>
      <c r="B27" t="n">
        <v>26</v>
      </c>
      <c r="C27" t="inlineStr">
        <is>
          <t>Is the HSA contribution (family/self + catch-up) fully utilized?</t>
        </is>
      </c>
      <c r="M27" t="inlineStr">
        <is>
          <t>Family/self + catch‑up not fully utilized; mid‑year HDHP change ignored.</t>
        </is>
      </c>
      <c r="N27" t="inlineStr">
        <is>
          <t>$300–$1,200</t>
        </is>
      </c>
    </row>
    <row r="28">
      <c r="A28" t="inlineStr">
        <is>
          <t>Adjustments to Income</t>
        </is>
      </c>
      <c r="B28" t="n">
        <v>27</v>
      </c>
      <c r="C28" t="inlineStr">
        <is>
          <t>For self-employed, is the health insurance deduction properly calculated?</t>
        </is>
      </c>
      <c r="M28" t="inlineStr">
        <is>
          <t>SEHI not tied to business income; premiums partially missed.</t>
        </is>
      </c>
      <c r="N28" t="inlineStr">
        <is>
          <t>$500–$3,000</t>
        </is>
      </c>
    </row>
    <row r="29">
      <c r="A29" t="inlineStr">
        <is>
          <t>Adjustments to Income</t>
        </is>
      </c>
      <c r="B29" t="n">
        <v>28</v>
      </c>
      <c r="C29" t="inlineStr">
        <is>
          <t>Has the 1/2 self-employment tax deduction been claimed?</t>
        </is>
      </c>
      <c r="M29" t="inlineStr">
        <is>
          <t>Missed above‑the‑line deduction in software mapping.</t>
        </is>
      </c>
      <c r="N29" t="inlineStr">
        <is>
          <t>$300–$1,000</t>
        </is>
      </c>
    </row>
    <row r="30">
      <c r="A30" t="inlineStr">
        <is>
          <t>Adjustments to Income</t>
        </is>
      </c>
      <c r="B30" t="n">
        <v>29</v>
      </c>
      <c r="C30" t="inlineStr">
        <is>
          <t>Any educator expenses or other above-the-line adjustments available?</t>
        </is>
      </c>
      <c r="M30" t="inlineStr">
        <is>
          <t>Eligible educator expenses not tracked.</t>
        </is>
      </c>
      <c r="N30" t="inlineStr">
        <is>
          <t>$50–$300</t>
        </is>
      </c>
    </row>
    <row r="31">
      <c r="A31" t="inlineStr">
        <is>
          <t>Deductions – Itemized vs Standard</t>
        </is>
      </c>
      <c r="B31" t="n">
        <v>30</v>
      </c>
      <c r="C31" t="inlineStr">
        <is>
          <t>Does Schedule A exceed the standard deduction this year? If not, should we bunch deductions?</t>
        </is>
      </c>
      <c r="M31" t="inlineStr">
        <is>
          <t>Not bunching deductions across years.</t>
        </is>
      </c>
      <c r="N31" t="inlineStr">
        <is>
          <t>$500–$2,500</t>
        </is>
      </c>
    </row>
    <row r="32">
      <c r="A32" t="inlineStr">
        <is>
          <t>Deductions – Itemized vs Standard</t>
        </is>
      </c>
      <c r="B32" t="n">
        <v>31</v>
      </c>
      <c r="C32" t="inlineStr">
        <is>
          <t>Is mortgage interest (Form 1098) fully captured and acquisition debt limits respected?</t>
        </is>
      </c>
      <c r="M32" t="inlineStr">
        <is>
          <t>Interest from HELOC/personal not allocable; debt limit rules ignored.</t>
        </is>
      </c>
      <c r="N32" t="inlineStr">
        <is>
          <t>$300–$2,000</t>
        </is>
      </c>
    </row>
    <row r="33">
      <c r="A33" t="inlineStr">
        <is>
          <t>Deductions – Itemized vs Standard</t>
        </is>
      </c>
      <c r="B33" t="n">
        <v>32</v>
      </c>
      <c r="C33" t="inlineStr">
        <is>
          <t>Are charitable gifts correctly recorded (cash vs. appreciated securities) and substantiated?</t>
        </is>
      </c>
      <c r="M33" t="inlineStr">
        <is>
          <t>Donating cash instead of appreciated assets; weak substantiation.</t>
        </is>
      </c>
      <c r="N33" t="inlineStr">
        <is>
          <t>20–30% more deduction value</t>
        </is>
      </c>
    </row>
    <row r="34">
      <c r="A34" t="inlineStr">
        <is>
          <t>Deductions – Itemized vs Standard</t>
        </is>
      </c>
      <c r="B34" t="n">
        <v>33</v>
      </c>
      <c r="C34" t="inlineStr">
        <is>
          <t>Is SALT deduction capped at $10,000 and optimized across state income/property taxes?</t>
        </is>
      </c>
      <c r="M34" t="inlineStr">
        <is>
          <t>Paying property/state tax in suboptimal year relative to cap.</t>
        </is>
      </c>
      <c r="N34" t="inlineStr">
        <is>
          <t>$300–$1,200</t>
        </is>
      </c>
    </row>
    <row r="35">
      <c r="A35" t="inlineStr">
        <is>
          <t>Deductions – Itemized vs Standard</t>
        </is>
      </c>
      <c r="B35" t="n">
        <v>34</v>
      </c>
      <c r="C35" t="inlineStr">
        <is>
          <t>Do medical expenses exceed 7.5% of AGI to warrant itemizing this year?</t>
        </is>
      </c>
      <c r="M35" t="inlineStr">
        <is>
          <t>Not tracking premiums/LTC; missing &gt;7.5% AGI threshold tactics.</t>
        </is>
      </c>
      <c r="N35" t="inlineStr">
        <is>
          <t>$200–$2,000</t>
        </is>
      </c>
    </row>
    <row r="36">
      <c r="A36" t="inlineStr">
        <is>
          <t>Deductions – Itemized vs Standard</t>
        </is>
      </c>
      <c r="B36" t="n">
        <v>35</v>
      </c>
      <c r="C36" t="inlineStr">
        <is>
          <t>Would donor-advised fund (DAF) contributions or QCDs improve tax efficiency?</t>
        </is>
      </c>
      <c r="M36" t="inlineStr">
        <is>
          <t>DAF or QCD not used for bunching/QCD at age 70½+.</t>
        </is>
      </c>
      <c r="N36" t="inlineStr">
        <is>
          <t>$500–$5,000</t>
        </is>
      </c>
    </row>
    <row r="37">
      <c r="A37" t="inlineStr">
        <is>
          <t>Credits</t>
        </is>
      </c>
      <c r="B37" t="n">
        <v>36</v>
      </c>
      <c r="C37" t="inlineStr">
        <is>
          <t>Is the Child Tax Credit properly calculated (income phaseouts considered)?</t>
        </is>
      </c>
      <c r="M37" t="inlineStr">
        <is>
          <t>MAGI too high due to poor timing; no planning for phaseouts.</t>
        </is>
      </c>
      <c r="N37" t="inlineStr">
        <is>
          <t>$1,000–$2,000 per child</t>
        </is>
      </c>
    </row>
    <row r="38">
      <c r="A38" t="inlineStr">
        <is>
          <t>Credits</t>
        </is>
      </c>
      <c r="B38" t="n">
        <v>37</v>
      </c>
      <c r="C38" t="inlineStr">
        <is>
          <t>Is the Other Dependent Credit available for non-qualifying child dependents?</t>
        </is>
      </c>
      <c r="M38" t="inlineStr">
        <is>
          <t>Qualifying relatives not evaluated.</t>
        </is>
      </c>
      <c r="N38" t="inlineStr">
        <is>
          <t>$500 per dependent</t>
        </is>
      </c>
    </row>
    <row r="39">
      <c r="A39" t="inlineStr">
        <is>
          <t>Credits</t>
        </is>
      </c>
      <c r="B39" t="n">
        <v>38</v>
      </c>
      <c r="C39" t="inlineStr">
        <is>
          <t>Is the Earned Income Credit applicable and accurately computed?</t>
        </is>
      </c>
      <c r="M39" t="inlineStr">
        <is>
          <t>EIC not modeled due to investment income or filing status assumptions.</t>
        </is>
      </c>
      <c r="N39" t="inlineStr">
        <is>
          <t>$1,000–$6,000</t>
        </is>
      </c>
    </row>
    <row r="40">
      <c r="A40" t="inlineStr">
        <is>
          <t>Credits</t>
        </is>
      </c>
      <c r="B40" t="n">
        <v>39</v>
      </c>
      <c r="C40" t="inlineStr">
        <is>
          <t>Are education credits (AOTC/LLC) maximized versus 529 distributions and timing?</t>
        </is>
      </c>
      <c r="M40" t="inlineStr">
        <is>
          <t>Mismatch of tuition payments vs. calendar year; double dipping with 529.</t>
        </is>
      </c>
      <c r="N40" t="inlineStr">
        <is>
          <t>Up to $2,500 per student</t>
        </is>
      </c>
    </row>
    <row r="41">
      <c r="A41" t="inlineStr">
        <is>
          <t>Credits</t>
        </is>
      </c>
      <c r="B41" t="n">
        <v>40</v>
      </c>
      <c r="C41" t="inlineStr">
        <is>
          <t>Are energy-efficient home improvement credits or residential clean energy credits available?</t>
        </is>
      </c>
      <c r="M41" t="inlineStr">
        <is>
          <t>Not saving manufacturer certification; misreading annual caps.</t>
        </is>
      </c>
      <c r="N41" t="inlineStr">
        <is>
          <t>Up to $3,200</t>
        </is>
      </c>
    </row>
    <row r="42">
      <c r="A42" t="inlineStr">
        <is>
          <t>Credits</t>
        </is>
      </c>
      <c r="B42" t="n">
        <v>41</v>
      </c>
      <c r="C42" t="inlineStr">
        <is>
          <t>Is the Clean Vehicle Credit applicable based on VIN, MAGI, and purchase criteria?</t>
        </is>
      </c>
      <c r="M42" t="inlineStr">
        <is>
          <t>VIN/MSRP/AGI not verified; transfer credit option ignored.</t>
        </is>
      </c>
      <c r="N42" t="inlineStr">
        <is>
          <t>$3,750–$7,500</t>
        </is>
      </c>
    </row>
    <row r="43">
      <c r="A43" t="inlineStr">
        <is>
          <t>Credits</t>
        </is>
      </c>
      <c r="B43" t="n">
        <v>42</v>
      </c>
      <c r="C43" t="inlineStr">
        <is>
          <t>Is the Saver’s Credit available based on retirement contributions and AGI?</t>
        </is>
      </c>
      <c r="M43" t="inlineStr">
        <is>
          <t>Not coordinating contributions to fall into eligible AGI bands.</t>
        </is>
      </c>
      <c r="N43" t="inlineStr">
        <is>
          <t>$200–$2,000</t>
        </is>
      </c>
    </row>
    <row r="44">
      <c r="A44" t="inlineStr">
        <is>
          <t>Additional Taxes &amp; Withholding</t>
        </is>
      </c>
      <c r="B44" t="n">
        <v>43</v>
      </c>
      <c r="C44" t="inlineStr">
        <is>
          <t>Is Net Investment Income Tax (3.8%) triggered and can MAGI be managed to mitigate it?</t>
        </is>
      </c>
      <c r="M44" t="inlineStr">
        <is>
          <t>MAGI above $200k/$250k not managed; no harvesting/deferral.</t>
        </is>
      </c>
      <c r="N44" t="inlineStr">
        <is>
          <t>$500–$5,000</t>
        </is>
      </c>
    </row>
    <row r="45">
      <c r="A45" t="inlineStr">
        <is>
          <t>Additional Taxes &amp; Withholding</t>
        </is>
      </c>
      <c r="B45" t="n">
        <v>44</v>
      </c>
      <c r="C45" t="inlineStr">
        <is>
          <t>Is Additional Medicare Tax (0.9%) applicable and reconciled?</t>
        </is>
      </c>
      <c r="M45" t="inlineStr">
        <is>
          <t>Not withholding on high W‑2 wages; reconciliation surprises.</t>
        </is>
      </c>
      <c r="N45" t="inlineStr">
        <is>
          <t>$200–$800 (penalties avoided)</t>
        </is>
      </c>
    </row>
    <row r="46">
      <c r="A46" t="inlineStr">
        <is>
          <t>Additional Taxes &amp; Withholding</t>
        </is>
      </c>
      <c r="B46" t="n">
        <v>45</v>
      </c>
      <c r="C46" t="inlineStr">
        <is>
          <t>Are withholdings and estimates sufficient to avoid underpayment penalties (Form 2210)?</t>
        </is>
      </c>
      <c r="M46" t="inlineStr">
        <is>
          <t>Safe‑harbor not used; uneven quarterly cash flows.</t>
        </is>
      </c>
      <c r="N46" t="inlineStr">
        <is>
          <t>$200–$1,000 (penalties avoided)</t>
        </is>
      </c>
    </row>
    <row r="47">
      <c r="A47" t="inlineStr">
        <is>
          <t>Additional Taxes &amp; Withholding</t>
        </is>
      </c>
      <c r="B47" t="n">
        <v>46</v>
      </c>
      <c r="C47" t="inlineStr">
        <is>
          <t>Does Form W-4 need adjusting for next year based on changes or planning moves?</t>
        </is>
      </c>
      <c r="M47" t="inlineStr">
        <is>
          <t>W‑4 unchanged after big life/income changes.</t>
        </is>
      </c>
      <c r="N47" t="inlineStr">
        <is>
          <t>$200–$1,500 cash‑flow impact</t>
        </is>
      </c>
    </row>
    <row r="48">
      <c r="A48" t="inlineStr">
        <is>
          <t>Capital Gains &amp; Passive Planning</t>
        </is>
      </c>
      <c r="B48" t="n">
        <v>47</v>
      </c>
      <c r="C48" t="inlineStr">
        <is>
          <t>Are long-term capital gains strategically realized within favorable 0%/15%/20% brackets?</t>
        </is>
      </c>
      <c r="M48" t="inlineStr">
        <is>
          <t>Not filling the 0% LTCG bracket in low‑income years.</t>
        </is>
      </c>
      <c r="N48" t="inlineStr">
        <is>
          <t>$1,000–$5,000</t>
        </is>
      </c>
    </row>
    <row r="49">
      <c r="A49" t="inlineStr">
        <is>
          <t>Capital Gains &amp; Passive Planning</t>
        </is>
      </c>
      <c r="B49" t="n">
        <v>48</v>
      </c>
      <c r="C49" t="inlineStr">
        <is>
          <t>Are passive activities correctly grouped, and are suspended passive losses tracked and used?</t>
        </is>
      </c>
      <c r="M49" t="inlineStr">
        <is>
          <t>Activities not grouped; losses trapped unnecessarily.</t>
        </is>
      </c>
      <c r="N49" t="inlineStr">
        <is>
          <t>$500–$5,000</t>
        </is>
      </c>
    </row>
    <row r="50">
      <c r="A50" t="inlineStr">
        <is>
          <t>Capital Gains &amp; Passive Planning</t>
        </is>
      </c>
      <c r="B50" t="n">
        <v>49</v>
      </c>
      <c r="C50" t="inlineStr">
        <is>
          <t>Any real estate professional status (REPS) eligibility to unlock passive losses?</t>
        </is>
      </c>
      <c r="M50" t="inlineStr">
        <is>
          <t>Not documenting hours/material participation; REPS missed.</t>
        </is>
      </c>
      <c r="N50" t="inlineStr">
        <is>
          <t>$3,000–$25,000+</t>
        </is>
      </c>
    </row>
    <row r="51">
      <c r="A51" t="inlineStr">
        <is>
          <t>Capital Gains &amp; Passive Planning</t>
        </is>
      </c>
      <c r="B51" t="n">
        <v>50</v>
      </c>
      <c r="C51" t="inlineStr">
        <is>
          <t>Are cost segregation studies or bonus depreciation appropriate for rental properties?</t>
        </is>
      </c>
      <c r="M51" t="inlineStr">
        <is>
          <t>No study on new rentals; bonus depreciation unused.</t>
        </is>
      </c>
      <c r="N51" t="inlineStr">
        <is>
          <t>20–30% faster depreciation</t>
        </is>
      </c>
    </row>
    <row r="52">
      <c r="A52" t="inlineStr">
        <is>
          <t>Capital Gains &amp; Passive Planning</t>
        </is>
      </c>
      <c r="B52" t="n">
        <v>51</v>
      </c>
      <c r="C52" t="inlineStr">
        <is>
          <t>Are like-kind exchanges (1031) or installment sales viable for large dispositions?</t>
        </is>
      </c>
      <c r="M52" t="inlineStr">
        <is>
          <t>Missing exchange/installment timelines; paying full tax up front.</t>
        </is>
      </c>
      <c r="N52" t="inlineStr">
        <is>
          <t>$5,000–$100,000 deferral</t>
        </is>
      </c>
    </row>
    <row r="53">
      <c r="A53" t="inlineStr">
        <is>
          <t>Retirement &amp; Estate</t>
        </is>
      </c>
      <c r="B53" t="n">
        <v>52</v>
      </c>
      <c r="C53" t="inlineStr">
        <is>
          <t>Have employee plan deferrals and employer matches been maximized?</t>
        </is>
      </c>
      <c r="M53" t="inlineStr">
        <is>
          <t>Not capturing full employer match; missed deferrals.</t>
        </is>
      </c>
      <c r="N53" t="inlineStr">
        <is>
          <t>$500–$3,000</t>
        </is>
      </c>
    </row>
    <row r="54">
      <c r="A54" t="inlineStr">
        <is>
          <t>Retirement &amp; Estate</t>
        </is>
      </c>
      <c r="B54" t="n">
        <v>53</v>
      </c>
      <c r="C54" t="inlineStr">
        <is>
          <t>Are Roth vs. Traditional contributions optimized relative to current and future brackets?</t>
        </is>
      </c>
      <c r="M54" t="inlineStr">
        <is>
          <t>Contributing to wrong bucket relative to bracket expectations.</t>
        </is>
      </c>
      <c r="N54" t="inlineStr">
        <is>
          <t>$500–$5,000 (lifetime)</t>
        </is>
      </c>
    </row>
    <row r="55">
      <c r="A55" t="inlineStr">
        <is>
          <t>Retirement &amp; Estate</t>
        </is>
      </c>
      <c r="B55" t="n">
        <v>54</v>
      </c>
      <c r="C55" t="inlineStr">
        <is>
          <t>Are Roth conversions advisable in low-income years or post-retirement gap years?</t>
        </is>
      </c>
      <c r="M55" t="inlineStr">
        <is>
          <t>Converting in high‑income years; no multi‑year laddering.</t>
        </is>
      </c>
      <c r="N55" t="inlineStr">
        <is>
          <t>$1,000–$10,000</t>
        </is>
      </c>
    </row>
    <row r="56">
      <c r="A56" t="inlineStr">
        <is>
          <t>Retirement &amp; Estate</t>
        </is>
      </c>
      <c r="B56" t="n">
        <v>55</v>
      </c>
      <c r="C56" t="inlineStr">
        <is>
          <t>Is a Cash Balance/Defined Benefit plan suitable for high-income business owners?</t>
        </is>
      </c>
      <c r="M56" t="inlineStr">
        <is>
          <t>High‑income owners not using DB plans for large deferrals.</t>
        </is>
      </c>
      <c r="N56" t="inlineStr">
        <is>
          <t>$20,000–$200,000 deferral</t>
        </is>
      </c>
    </row>
    <row r="57">
      <c r="A57" t="inlineStr">
        <is>
          <t>Retirement &amp; Estate</t>
        </is>
      </c>
      <c r="B57" t="n">
        <v>56</v>
      </c>
      <c r="C57" t="inlineStr">
        <is>
          <t>Any charitable trusts (CRUT/CRAT/CLT) or gifting strategies (annual exclusion) to implement?</t>
        </is>
      </c>
      <c r="M57" t="inlineStr">
        <is>
          <t>No CRUT/CLT for appreciated assets; annual exclusion unused.</t>
        </is>
      </c>
      <c r="N57" t="inlineStr">
        <is>
          <t>$2,000–$25,000+</t>
        </is>
      </c>
    </row>
    <row r="58">
      <c r="A58" t="inlineStr">
        <is>
          <t>Retirement &amp; Estate</t>
        </is>
      </c>
      <c r="B58" t="n">
        <v>57</v>
      </c>
      <c r="C58" t="inlineStr">
        <is>
          <t>Have beneficiary designations and estate documents been reviewed this year?</t>
        </is>
      </c>
      <c r="M58" t="inlineStr">
        <is>
          <t>Outdated beneficiaries causing tax‑inefficient distributions.</t>
        </is>
      </c>
      <c r="N58" t="inlineStr">
        <is>
          <t>Large downstream savings/risk avoidance</t>
        </is>
      </c>
    </row>
    <row r="59">
      <c r="A59" t="inlineStr">
        <is>
          <t>Future-Year Planning</t>
        </is>
      </c>
      <c r="B59" t="n">
        <v>58</v>
      </c>
      <c r="C59" t="inlineStr">
        <is>
          <t>Do multi-year projections identify bracket management opportunities (timing income/deductions)?</t>
        </is>
      </c>
      <c r="M59" t="inlineStr">
        <is>
          <t>No what‑if modeling; unintentionally crossing phase‑out thresholds.</t>
        </is>
      </c>
      <c r="N59" t="inlineStr">
        <is>
          <t>$500–$5,000</t>
        </is>
      </c>
    </row>
    <row r="60">
      <c r="A60" t="inlineStr">
        <is>
          <t>Future-Year Planning</t>
        </is>
      </c>
      <c r="B60" t="n">
        <v>59</v>
      </c>
      <c r="C60" t="inlineStr">
        <is>
          <t>Should bonuses, RSUs, or business income be accelerated or deferred?</t>
        </is>
      </c>
      <c r="M60" t="inlineStr">
        <is>
          <t>No deferral/83(b)/sell‑to‑cover modeling.</t>
        </is>
      </c>
      <c r="N60" t="inlineStr">
        <is>
          <t>$1,000–$10,000</t>
        </is>
      </c>
    </row>
    <row r="61">
      <c r="A61" t="inlineStr">
        <is>
          <t>Future-Year Planning</t>
        </is>
      </c>
      <c r="B61" t="n">
        <v>60</v>
      </c>
      <c r="C61" t="inlineStr">
        <is>
          <t>Are there AMT or state-specific triggers to plan around?</t>
        </is>
      </c>
      <c r="M61" t="inlineStr">
        <is>
          <t>Triggering AMT/QBI cliffs due to timing errors.</t>
        </is>
      </c>
      <c r="N61" t="inlineStr">
        <is>
          <t>$500–$3,000</t>
        </is>
      </c>
    </row>
    <row r="62">
      <c r="A62" t="inlineStr">
        <is>
          <t>Future-Year Planning</t>
        </is>
      </c>
      <c r="B62" t="n">
        <v>61</v>
      </c>
      <c r="C62" t="inlineStr">
        <is>
          <t>Will upcoming life events (sale of home, retirement, college, inheritance) change the plan?</t>
        </is>
      </c>
      <c r="M62" t="inlineStr">
        <is>
          <t>No pre‑transaction planning for home sale/retirement/inheritance.</t>
        </is>
      </c>
      <c r="N62" t="inlineStr">
        <is>
          <t>$1,000–$50,000</t>
        </is>
      </c>
    </row>
    <row r="63">
      <c r="A63" t="inlineStr">
        <is>
          <t>Red Flags &amp; Reconciliations</t>
        </is>
      </c>
      <c r="B63" t="n">
        <v>62</v>
      </c>
      <c r="C63" t="inlineStr">
        <is>
          <t>Do totals reconcile between 1099s, W-2s, brokerage 1099-B, and the return (avoid CP2000)?</t>
        </is>
      </c>
      <c r="M63" t="inlineStr">
        <is>
          <t>Broker/issuer totals don’t tie; CP2000 risk.</t>
        </is>
      </c>
      <c r="N63" t="inlineStr">
        <is>
          <t>$300–$3,000 (penalties avoided)</t>
        </is>
      </c>
    </row>
    <row r="64">
      <c r="A64" t="inlineStr">
        <is>
          <t>Red Flags &amp; Reconciliations</t>
        </is>
      </c>
      <c r="B64" t="n">
        <v>63</v>
      </c>
      <c r="C64" t="inlineStr">
        <is>
          <t>Are large year-over-year changes explained and documented?</t>
        </is>
      </c>
      <c r="M64" t="inlineStr">
        <is>
          <t>Large swings unexplained; audit triggers unconsidered.</t>
        </is>
      </c>
      <c r="N64" t="inlineStr">
        <is>
          <t>$200–$1,000 (risk mitigation)</t>
        </is>
      </c>
    </row>
    <row r="65">
      <c r="A65" t="inlineStr">
        <is>
          <t>Red Flags &amp; Reconciliations</t>
        </is>
      </c>
      <c r="B65" t="n">
        <v>64</v>
      </c>
      <c r="C65" t="inlineStr">
        <is>
          <t>Are carryforwards (NOLs, capital loss, PALs, credits) accurately rolled forward in workpapers?</t>
        </is>
      </c>
      <c r="M65" t="inlineStr">
        <is>
          <t>Carryforwards lost between software/preparers.</t>
        </is>
      </c>
      <c r="N65" t="inlineStr">
        <is>
          <t>$300–$3,000/yr</t>
        </is>
      </c>
    </row>
    <row r="66">
      <c r="A66" t="inlineStr">
        <is>
          <t>Red Flags &amp; Reconciliations</t>
        </is>
      </c>
      <c r="B66" t="n">
        <v>65</v>
      </c>
      <c r="C66" t="inlineStr">
        <is>
          <t>Are all bank/crypto accounts reported where required (FBAR/FATCA thresholds)?</t>
        </is>
      </c>
      <c r="M66" t="inlineStr">
        <is>
          <t>Foreign account thresholds missed; no FBAR/8938 filed.</t>
        </is>
      </c>
      <c r="N66" t="inlineStr">
        <is>
          <t>Severe penalties avoided</t>
        </is>
      </c>
    </row>
    <row r="67">
      <c r="A67" t="inlineStr">
        <is>
          <t>Documentation</t>
        </is>
      </c>
      <c r="B67" t="n">
        <v>66</v>
      </c>
      <c r="C67" t="inlineStr">
        <is>
          <t>Are receipts and acknowledgments for $250+ charitable gifts on file?</t>
        </is>
      </c>
      <c r="M67" t="inlineStr">
        <is>
          <t>No contemporaneous acknowledgment; &gt;$250 gifts disallowed.</t>
        </is>
      </c>
      <c r="N67" t="inlineStr">
        <is>
          <t>$200–$3,000</t>
        </is>
      </c>
    </row>
    <row r="68">
      <c r="A68" t="inlineStr">
        <is>
          <t>Documentation</t>
        </is>
      </c>
      <c r="B68" t="n">
        <v>67</v>
      </c>
      <c r="C68" t="inlineStr">
        <is>
          <t>Is contemporaneous mileage log or expense documentation maintained?</t>
        </is>
      </c>
      <c r="M68" t="inlineStr">
        <is>
          <t>No contemporaneous records; deduction denied on audit.</t>
        </is>
      </c>
      <c r="N68" t="inlineStr">
        <is>
          <t>$300–$2,000</t>
        </is>
      </c>
    </row>
    <row r="69">
      <c r="A69" t="inlineStr">
        <is>
          <t>Documentation</t>
        </is>
      </c>
      <c r="B69" t="n">
        <v>68</v>
      </c>
      <c r="C69" t="inlineStr">
        <is>
          <t>Are home office measurements, exclusive-use evidence, and utility allocations documented?</t>
        </is>
      </c>
      <c r="M69" t="inlineStr">
        <is>
          <t>Exclusive‑use not documented; utilities allocation weak.</t>
        </is>
      </c>
      <c r="N69" t="inlineStr">
        <is>
          <t>$500–$2,000</t>
        </is>
      </c>
    </row>
    <row r="70">
      <c r="A70" t="inlineStr">
        <is>
          <t>Documentation</t>
        </is>
      </c>
      <c r="B70" t="n">
        <v>69</v>
      </c>
      <c r="C70" t="inlineStr">
        <is>
          <t>Are depreciation schedules and fixed asset subledgers up to date?</t>
        </is>
      </c>
      <c r="M70" t="inlineStr">
        <is>
          <t>Fixed asset subledger outdated; basis errors.</t>
        </is>
      </c>
      <c r="N70" t="inlineStr">
        <is>
          <t>$500–$5,000</t>
        </is>
      </c>
    </row>
    <row r="71">
      <c r="A71" t="inlineStr">
        <is>
          <t>Documentation</t>
        </is>
      </c>
      <c r="B71" t="n">
        <v>70</v>
      </c>
      <c r="C71" t="inlineStr">
        <is>
          <t>Are basis records for securities and real estate current and complete?</t>
        </is>
      </c>
      <c r="M71" t="inlineStr">
        <is>
          <t>Missing basis; default to zero on sale.</t>
        </is>
      </c>
      <c r="N71" t="inlineStr">
        <is>
          <t>$1,000–$25,000</t>
        </is>
      </c>
    </row>
    <row r="72">
      <c r="A72" t="inlineStr">
        <is>
          <t>Documentation</t>
        </is>
      </c>
      <c r="B72" t="n">
        <v>71</v>
      </c>
      <c r="C72" t="inlineStr">
        <is>
          <t>Has a secure archive of the finalized return and workpapers been created?</t>
        </is>
      </c>
      <c r="M72" t="inlineStr">
        <is>
          <t>No organized archive; lost proof for credits/deductions.</t>
        </is>
      </c>
      <c r="N72" t="inlineStr">
        <is>
          <t>$200–$2,000 (risk mitigation)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Items</t>
        </is>
      </c>
    </row>
    <row r="2">
      <c r="A2" t="inlineStr">
        <is>
          <t>Additional Taxes &amp; Withholding</t>
        </is>
      </c>
      <c r="B2" t="n">
        <v>4</v>
      </c>
    </row>
    <row r="3">
      <c r="A3" t="inlineStr">
        <is>
          <t>Adjustments to Income</t>
        </is>
      </c>
      <c r="B3" t="n">
        <v>6</v>
      </c>
    </row>
    <row r="4">
      <c r="A4" t="inlineStr">
        <is>
          <t>Capital Gains &amp; Passive Planning</t>
        </is>
      </c>
      <c r="B4" t="n">
        <v>5</v>
      </c>
    </row>
    <row r="5">
      <c r="A5" t="inlineStr">
        <is>
          <t>Credits</t>
        </is>
      </c>
      <c r="B5" t="n">
        <v>7</v>
      </c>
    </row>
    <row r="6">
      <c r="A6" t="inlineStr">
        <is>
          <t>Deductions – Itemized vs Standard</t>
        </is>
      </c>
      <c r="B6" t="n">
        <v>6</v>
      </c>
    </row>
    <row r="7">
      <c r="A7" t="inlineStr">
        <is>
          <t>Documentation</t>
        </is>
      </c>
      <c r="B7" t="n">
        <v>6</v>
      </c>
    </row>
    <row r="8">
      <c r="A8" t="inlineStr">
        <is>
          <t>Filing Status &amp; Dependents</t>
        </is>
      </c>
      <c r="B8" t="n">
        <v>6</v>
      </c>
    </row>
    <row r="9">
      <c r="A9" t="inlineStr">
        <is>
          <t>Future-Year Planning</t>
        </is>
      </c>
      <c r="B9" t="n">
        <v>4</v>
      </c>
    </row>
    <row r="10">
      <c r="A10" t="inlineStr">
        <is>
          <t>Holistic Review</t>
        </is>
      </c>
      <c r="B10" t="n">
        <v>4</v>
      </c>
    </row>
    <row r="11">
      <c r="A11" t="inlineStr">
        <is>
          <t>Income – Investments</t>
        </is>
      </c>
      <c r="B11" t="n">
        <v>6</v>
      </c>
    </row>
    <row r="12">
      <c r="A12" t="inlineStr">
        <is>
          <t>Income – Wages &amp; Self-Employment</t>
        </is>
      </c>
      <c r="B12" t="n">
        <v>7</v>
      </c>
    </row>
    <row r="13">
      <c r="A13" t="inlineStr">
        <is>
          <t>Red Flags &amp; Reconciliations</t>
        </is>
      </c>
      <c r="B13" t="n">
        <v>4</v>
      </c>
    </row>
    <row r="14">
      <c r="A14" t="inlineStr">
        <is>
          <t>Retirement &amp; Estate</t>
        </is>
      </c>
      <c r="B1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Playbook Notes</t>
        </is>
      </c>
    </row>
    <row r="2">
      <c r="A2" t="inlineStr">
        <is>
          <t>Use 'Priority' and 'Owner' to drive action. Track realized savings post‑filing.</t>
        </is>
      </c>
    </row>
    <row r="3">
      <c r="A3" t="inlineStr">
        <is>
          <t>Model NIIT/AMT and phaseouts in multi‑year projections to avoid bracket creep.</t>
        </is>
      </c>
    </row>
    <row r="4">
      <c r="A4" t="inlineStr">
        <is>
          <t>For charitable planning, compare cash vs appreciated stock vs DAF vs QCD (70½+).</t>
        </is>
      </c>
    </row>
    <row r="5">
      <c r="A5" t="inlineStr">
        <is>
          <t>For rentals, evaluate REPS and cost segregation early in the tax year.</t>
        </is>
      </c>
    </row>
    <row r="6">
      <c r="A6" t="inlineStr">
        <is>
          <t>Generated on 2025-10-20.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2025-10-20T13:28:32Z</dcterms:created>
  <dcterms:modified xmlns:dcterms="http://purl.org/dc/terms/" xmlns:xsi="http://www.w3.org/2001/XMLSchema-instance" xsi:type="dcterms:W3CDTF">2025-10-20T13:28:32Z</dcterms:modified>
</cp:coreProperties>
</file>