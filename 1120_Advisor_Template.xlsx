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J6462897\Downloads\"/>
    </mc:Choice>
  </mc:AlternateContent>
  <xr:revisionPtr revIDLastSave="0" documentId="13_ncr:1_{9CBF9723-F49E-4A2D-BE29-7D7F520578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Schedule_L" sheetId="2" r:id="rId2"/>
    <sheet name="P&amp;L" sheetId="3" r:id="rId3"/>
    <sheet name="M1_Recon" sheetId="4" r:id="rId4"/>
    <sheet name="M2_RE" sheetId="5" r:id="rId5"/>
    <sheet name="Financial_Ratios" sheetId="6" r:id="rId6"/>
    <sheet name="Optimization_Tracker" sheetId="7" r:id="rId7"/>
    <sheet name="Action_Calenda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B12" i="6"/>
  <c r="B9" i="6"/>
  <c r="B6" i="6"/>
  <c r="B5" i="6"/>
  <c r="B8" i="6" s="1"/>
  <c r="B4" i="6"/>
  <c r="B10" i="6" s="1"/>
  <c r="B3" i="6"/>
  <c r="B2" i="6"/>
  <c r="B6" i="5"/>
  <c r="B7" i="6" l="1"/>
  <c r="D8" i="4"/>
  <c r="D10" i="4"/>
  <c r="D9" i="4"/>
  <c r="D7" i="4"/>
  <c r="D6" i="4"/>
  <c r="D4" i="4"/>
  <c r="D3" i="4"/>
  <c r="D5" i="4"/>
</calcChain>
</file>

<file path=xl/sharedStrings.xml><?xml version="1.0" encoding="utf-8"?>
<sst xmlns="http://schemas.openxmlformats.org/spreadsheetml/2006/main" count="166" uniqueCount="147">
  <si>
    <t>Value</t>
  </si>
  <si>
    <t>1120 Advisor Template</t>
  </si>
  <si>
    <t>Purpose</t>
  </si>
  <si>
    <t>How to use</t>
  </si>
  <si>
    <t>Notes</t>
  </si>
  <si>
    <t>Last Updated</t>
  </si>
  <si>
    <t>Use this workbook to translate Form 1120 schedules (L, M-1, M-2) into tax optimization and working-capital actions.</t>
  </si>
  <si>
    <t>1) Fill in the 'Schedule_L' and 'P&amp;L' tabs (yellow cells).
2) Enter book-to-tax items on 'M1_Recon' and retained earnings movements on 'M2_RE'.
3) Review 'Financial_Ratios' for DSO, DPO, DIO, liquidity and leverage.
4) Summarize actions in 'Optimization_Tracker' and monitor status.
5) Use 'Action_Calendar' to schedule deadlines for timing-based deductions (e.g., 2.5 month rule for accrued comp).</t>
  </si>
  <si>
    <t>• Formulas pull from the End-of-Year balances where relevant.
• All yellow cells are user inputs. Do not overwrite formula cells.
• This template is not tax advice; validate against current law, regs, and client facts.</t>
  </si>
  <si>
    <t>2025-10-15</t>
  </si>
  <si>
    <t>Line</t>
  </si>
  <si>
    <t>Account</t>
  </si>
  <si>
    <t>Begin_Year</t>
  </si>
  <si>
    <t>End_Year</t>
  </si>
  <si>
    <t>1</t>
  </si>
  <si>
    <t>2</t>
  </si>
  <si>
    <t>3</t>
  </si>
  <si>
    <t>4</t>
  </si>
  <si>
    <t>5</t>
  </si>
  <si>
    <t>6</t>
  </si>
  <si>
    <t>7</t>
  </si>
  <si>
    <t>8</t>
  </si>
  <si>
    <t>17</t>
  </si>
  <si>
    <t>18</t>
  </si>
  <si>
    <t>19</t>
  </si>
  <si>
    <t>20</t>
  </si>
  <si>
    <t>Loans_to_Shareholders</t>
  </si>
  <si>
    <t>Loans_from_Shareholders</t>
  </si>
  <si>
    <t>Deferred_Taxes</t>
  </si>
  <si>
    <t>Equity_Common</t>
  </si>
  <si>
    <t>Equity_RE</t>
  </si>
  <si>
    <t>Cash</t>
  </si>
  <si>
    <t>Trade Accounts Receivable (net)</t>
  </si>
  <si>
    <t>Inventories</t>
  </si>
  <si>
    <t>Other Current Assets (prepaids, deposits)</t>
  </si>
  <si>
    <t>Investments (short/long-term)</t>
  </si>
  <si>
    <t>Fixed Assets (net)</t>
  </si>
  <si>
    <t>Intangibles (net)</t>
  </si>
  <si>
    <t>Other Assets</t>
  </si>
  <si>
    <t>Accounts Payable</t>
  </si>
  <si>
    <t>Accrued Expenses (payroll, taxes, interest)</t>
  </si>
  <si>
    <t>Short-term Debt / Current Portion LT Debt</t>
  </si>
  <si>
    <t>Long-term Debt</t>
  </si>
  <si>
    <t>Loans to Shareholders (asset)</t>
  </si>
  <si>
    <t>Loans from Shareholders (liability)</t>
  </si>
  <si>
    <t>Deferred Tax Liabilities (net)</t>
  </si>
  <si>
    <t>Common Stock / APIC</t>
  </si>
  <si>
    <t>Retained Earnings</t>
  </si>
  <si>
    <t>Item</t>
  </si>
  <si>
    <t>Amount</t>
  </si>
  <si>
    <t>Revenue (Sales)</t>
  </si>
  <si>
    <t>COGS</t>
  </si>
  <si>
    <t>Operating Expenses (total)</t>
  </si>
  <si>
    <t>Interest Expense</t>
  </si>
  <si>
    <t>Income Tax Expense (book)</t>
  </si>
  <si>
    <t>Other Income/(Expense)</t>
  </si>
  <si>
    <t>Book_Amount</t>
  </si>
  <si>
    <t>Tax_Amount</t>
  </si>
  <si>
    <t>Difference_(Book-Tax)</t>
  </si>
  <si>
    <t>Type_(Permanent/Timing)</t>
  </si>
  <si>
    <t>Depreciation (Book vs Tax)</t>
  </si>
  <si>
    <t>Meals &amp; Entertainment (nondeductible portion)</t>
  </si>
  <si>
    <t>Charitable Contributions (subject to limit)</t>
  </si>
  <si>
    <t>Penalties &amp; Fines (nondeductible)</t>
  </si>
  <si>
    <t>Bad Debt Expense (specific write-offs only)</t>
  </si>
  <si>
    <t>Accrued Compensation (2.5 month rule)</t>
  </si>
  <si>
    <t>Income Tax Expense (book only)</t>
  </si>
  <si>
    <t>Other (specify)</t>
  </si>
  <si>
    <t>Timing</t>
  </si>
  <si>
    <t>Permanent</t>
  </si>
  <si>
    <t>MACRS/Bonus vs GAAP</t>
  </si>
  <si>
    <t>Component</t>
  </si>
  <si>
    <t>Beginning Retained Earnings</t>
  </si>
  <si>
    <t>Add: Net Income (per books)</t>
  </si>
  <si>
    <t>Less: Distributions/Dividends</t>
  </si>
  <si>
    <t>Other Adjustments (net)</t>
  </si>
  <si>
    <t>Ending Retained Earnings</t>
  </si>
  <si>
    <t>Should tie to Schedule_L Equity_RE End_Year</t>
  </si>
  <si>
    <t>Metric</t>
  </si>
  <si>
    <t>Definition</t>
  </si>
  <si>
    <t>DSO (days)</t>
  </si>
  <si>
    <t>DPO (days)</t>
  </si>
  <si>
    <t>DIO (days)</t>
  </si>
  <si>
    <t>Current Assets (End)</t>
  </si>
  <si>
    <t>Current Liabilities (End)</t>
  </si>
  <si>
    <t>Current Ratio</t>
  </si>
  <si>
    <t>Quick Ratio</t>
  </si>
  <si>
    <t>Debt-to-Equity</t>
  </si>
  <si>
    <t>Working Capital (End)</t>
  </si>
  <si>
    <t>Gross Margin %</t>
  </si>
  <si>
    <t>Burn Rate (Monthly approx.)</t>
  </si>
  <si>
    <t>Runway (months)</t>
  </si>
  <si>
    <t>AR_End / (Revenue/365)</t>
  </si>
  <si>
    <t>AP_End / (COGS/365)</t>
  </si>
  <si>
    <t>Inventory_End / (COGS/365)</t>
  </si>
  <si>
    <t>Cash+AR+Inventory+OtherCA</t>
  </si>
  <si>
    <t>AP+Accruals+ST Debt</t>
  </si>
  <si>
    <t>Current Assets / Current Liabilities</t>
  </si>
  <si>
    <t>(Cash+AR)/Current Liabilities</t>
  </si>
  <si>
    <t>(ST+LT Debt+Deferred Tax)/Equity_Total</t>
  </si>
  <si>
    <t>Current Assets - Current Liabilities</t>
  </si>
  <si>
    <t>(Revenue-COGS)/Revenue</t>
  </si>
  <si>
    <t>(OpEx+Interest)/12</t>
  </si>
  <si>
    <t>Cash / Monthly Burn</t>
  </si>
  <si>
    <t>Focus Area</t>
  </si>
  <si>
    <t>Key Finding</t>
  </si>
  <si>
    <t>Action Item</t>
  </si>
  <si>
    <t>Owner</t>
  </si>
  <si>
    <t>Due Date</t>
  </si>
  <si>
    <t>Est. Benefit ($)</t>
  </si>
  <si>
    <t>Status</t>
  </si>
  <si>
    <t>Tax Depreciation</t>
  </si>
  <si>
    <t>Accrued Compensation</t>
  </si>
  <si>
    <t>Inventory</t>
  </si>
  <si>
    <t>AR Collections</t>
  </si>
  <si>
    <t>Vendor Terms</t>
  </si>
  <si>
    <t>Retirement Plan</t>
  </si>
  <si>
    <t>Underclaimed MACRS/Bonus</t>
  </si>
  <si>
    <t>YE accrual unpaid past 2.5 months</t>
  </si>
  <si>
    <t>Slow-moving items</t>
  </si>
  <si>
    <t>DSO &gt; 60 days</t>
  </si>
  <si>
    <t>DPO &lt; 25 days</t>
  </si>
  <si>
    <t>High RE balance</t>
  </si>
  <si>
    <t>Perform cost segregation; file Form 3115</t>
  </si>
  <si>
    <t>Pay by 3/15 to secure deduction</t>
  </si>
  <si>
    <t>Write-down or donate obsolete stock</t>
  </si>
  <si>
    <t>Offer 2%/10 net 30; tighten credit policy</t>
  </si>
  <si>
    <t>Negotiate 45-day terms</t>
  </si>
  <si>
    <t>Establish 401(k) profit-sharing contribution</t>
  </si>
  <si>
    <t>Planned</t>
  </si>
  <si>
    <t>Task</t>
  </si>
  <si>
    <t>Related Rule/Ref</t>
  </si>
  <si>
    <t>Pay accrued bonuses for deduction</t>
  </si>
  <si>
    <t>Finalize cost seg &amp; 3115</t>
  </si>
  <si>
    <t>Charitable timing plan</t>
  </si>
  <si>
    <t>R&amp;D credit study</t>
  </si>
  <si>
    <t>Meals policy update</t>
  </si>
  <si>
    <t>Reg. §1.461-1(a)(2)</t>
  </si>
  <si>
    <t>IRC §168(k)</t>
  </si>
  <si>
    <t>IRC §170</t>
  </si>
  <si>
    <t>IRC §41</t>
  </si>
  <si>
    <t>IRS Notice 2021-25</t>
  </si>
  <si>
    <t>Pay within 2.5 months of YE</t>
  </si>
  <si>
    <t>Catch-up depreciation</t>
  </si>
  <si>
    <t>Respect 10% limitation &amp; carryforward</t>
  </si>
  <si>
    <t>Software/process expenses</t>
  </si>
  <si>
    <t>Maximize 100% categories where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</si>
</sst>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2" sqref="B12"/>
    </sheetView>
  </sheetViews>
  <sheetFormatPr defaultRowHeight="14.5" x14ac:dyDescent="0.35"/>
  <cols>
    <col min="1" max="1" width="24.7265625" customWidth="1"/>
    <col min="2" max="2" width="100.7265625" customWidth="1"/>
  </cols>
  <sheetData>
    <row r="1" spans="1:2" ht="18.5" x14ac:dyDescent="0.45">
      <c r="A1" s="1" t="s">
        <v>1</v>
      </c>
      <c r="B1" s="2" t="s">
        <v>0</v>
      </c>
    </row>
    <row r="2" spans="1:2" x14ac:dyDescent="0.35">
      <c r="A2" t="s">
        <v>1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 t="s">
        <v>8</v>
      </c>
    </row>
    <row r="6" spans="1:2" x14ac:dyDescent="0.35">
      <c r="A6" t="s">
        <v>5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4.5" x14ac:dyDescent="0.35"/>
  <cols>
    <col min="1" max="1" width="18.7265625" customWidth="1"/>
    <col min="2" max="2" width="42.7265625" customWidth="1"/>
    <col min="3" max="4" width="18.7265625" style="3" customWidth="1"/>
    <col min="5" max="5" width="40.7265625" customWidth="1"/>
  </cols>
  <sheetData>
    <row r="1" spans="1:5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4</v>
      </c>
    </row>
    <row r="2" spans="1:5" x14ac:dyDescent="0.35">
      <c r="A2" t="s">
        <v>14</v>
      </c>
      <c r="B2" t="s">
        <v>31</v>
      </c>
    </row>
    <row r="3" spans="1:5" x14ac:dyDescent="0.35">
      <c r="A3" t="s">
        <v>15</v>
      </c>
      <c r="B3" t="s">
        <v>32</v>
      </c>
    </row>
    <row r="4" spans="1:5" x14ac:dyDescent="0.35">
      <c r="A4" t="s">
        <v>16</v>
      </c>
      <c r="B4" t="s">
        <v>33</v>
      </c>
    </row>
    <row r="5" spans="1:5" x14ac:dyDescent="0.35">
      <c r="A5" t="s">
        <v>17</v>
      </c>
      <c r="B5" t="s">
        <v>34</v>
      </c>
    </row>
    <row r="6" spans="1:5" x14ac:dyDescent="0.35">
      <c r="A6" t="s">
        <v>18</v>
      </c>
      <c r="B6" t="s">
        <v>35</v>
      </c>
    </row>
    <row r="7" spans="1:5" x14ac:dyDescent="0.35">
      <c r="A7" t="s">
        <v>19</v>
      </c>
      <c r="B7" t="s">
        <v>36</v>
      </c>
    </row>
    <row r="8" spans="1:5" x14ac:dyDescent="0.35">
      <c r="A8" t="s">
        <v>20</v>
      </c>
      <c r="B8" t="s">
        <v>37</v>
      </c>
    </row>
    <row r="9" spans="1:5" x14ac:dyDescent="0.35">
      <c r="A9" t="s">
        <v>21</v>
      </c>
      <c r="B9" t="s">
        <v>38</v>
      </c>
    </row>
    <row r="10" spans="1:5" x14ac:dyDescent="0.35">
      <c r="A10" t="s">
        <v>22</v>
      </c>
      <c r="B10" t="s">
        <v>39</v>
      </c>
    </row>
    <row r="11" spans="1:5" x14ac:dyDescent="0.35">
      <c r="A11" t="s">
        <v>23</v>
      </c>
      <c r="B11" t="s">
        <v>40</v>
      </c>
    </row>
    <row r="12" spans="1:5" x14ac:dyDescent="0.35">
      <c r="A12" t="s">
        <v>24</v>
      </c>
      <c r="B12" t="s">
        <v>41</v>
      </c>
    </row>
    <row r="13" spans="1:5" x14ac:dyDescent="0.35">
      <c r="A13" t="s">
        <v>25</v>
      </c>
      <c r="B13" t="s">
        <v>42</v>
      </c>
    </row>
    <row r="14" spans="1:5" x14ac:dyDescent="0.35">
      <c r="A14" t="s">
        <v>26</v>
      </c>
      <c r="B14" t="s">
        <v>43</v>
      </c>
    </row>
    <row r="15" spans="1:5" x14ac:dyDescent="0.35">
      <c r="A15" t="s">
        <v>27</v>
      </c>
      <c r="B15" t="s">
        <v>44</v>
      </c>
    </row>
    <row r="16" spans="1:5" x14ac:dyDescent="0.35">
      <c r="A16" t="s">
        <v>28</v>
      </c>
      <c r="B16" t="s">
        <v>45</v>
      </c>
    </row>
    <row r="17" spans="1:2" x14ac:dyDescent="0.35">
      <c r="A17" t="s">
        <v>29</v>
      </c>
      <c r="B17" t="s">
        <v>46</v>
      </c>
    </row>
    <row r="18" spans="1:2" x14ac:dyDescent="0.35">
      <c r="A18" t="s">
        <v>30</v>
      </c>
      <c r="B18" t="s">
        <v>47</v>
      </c>
    </row>
  </sheetData>
  <conditionalFormatting sqref="C2:D100">
    <cfRule type="notContainsBlanks" dxfId="1" priority="1">
      <formula>LEN(TRIM(C2))&gt;0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cols>
    <col min="1" max="1" width="36.7265625" customWidth="1"/>
    <col min="2" max="2" width="18.7265625" style="3" customWidth="1"/>
  </cols>
  <sheetData>
    <row r="1" spans="1:2" x14ac:dyDescent="0.35">
      <c r="A1" s="2" t="s">
        <v>48</v>
      </c>
      <c r="B1" s="2" t="s">
        <v>49</v>
      </c>
    </row>
    <row r="2" spans="1:2" x14ac:dyDescent="0.35">
      <c r="A2" t="s">
        <v>50</v>
      </c>
    </row>
    <row r="3" spans="1:2" x14ac:dyDescent="0.35">
      <c r="A3" t="s">
        <v>51</v>
      </c>
    </row>
    <row r="4" spans="1:2" x14ac:dyDescent="0.35">
      <c r="A4" t="s">
        <v>52</v>
      </c>
    </row>
    <row r="5" spans="1:2" x14ac:dyDescent="0.35">
      <c r="A5" t="s">
        <v>53</v>
      </c>
    </row>
    <row r="6" spans="1:2" x14ac:dyDescent="0.35">
      <c r="A6" t="s">
        <v>54</v>
      </c>
    </row>
    <row r="7" spans="1:2" x14ac:dyDescent="0.35">
      <c r="A7" t="s">
        <v>55</v>
      </c>
    </row>
  </sheetData>
  <conditionalFormatting sqref="B1:B100">
    <cfRule type="notContainsBlanks" dxfId="0" priority="1">
      <formula>LEN(TRIM(B1))&gt;0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.5" x14ac:dyDescent="0.35"/>
  <cols>
    <col min="1" max="1" width="40.7265625" customWidth="1"/>
    <col min="2" max="4" width="18.7265625" style="3" customWidth="1"/>
    <col min="5" max="5" width="22.7265625" customWidth="1"/>
    <col min="6" max="6" width="40.7265625" style="4" customWidth="1"/>
  </cols>
  <sheetData>
    <row r="1" spans="1:6" x14ac:dyDescent="0.35">
      <c r="A1" s="2" t="s">
        <v>48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4</v>
      </c>
    </row>
    <row r="2" spans="1:6" x14ac:dyDescent="0.35">
      <c r="A2" t="s">
        <v>60</v>
      </c>
      <c r="E2" t="s">
        <v>68</v>
      </c>
      <c r="F2" s="4" t="s">
        <v>70</v>
      </c>
    </row>
    <row r="3" spans="1:6" x14ac:dyDescent="0.35">
      <c r="A3" t="s">
        <v>61</v>
      </c>
      <c r="D3" s="3">
        <f t="shared" ref="D3:D10" ca="1" si="0">IFERROR(C3-D3,"")</f>
        <v>0</v>
      </c>
      <c r="E3" t="s">
        <v>69</v>
      </c>
    </row>
    <row r="4" spans="1:6" x14ac:dyDescent="0.35">
      <c r="A4" t="s">
        <v>62</v>
      </c>
      <c r="D4" s="3">
        <f t="shared" ca="1" si="0"/>
        <v>0</v>
      </c>
      <c r="E4" t="s">
        <v>68</v>
      </c>
    </row>
    <row r="5" spans="1:6" x14ac:dyDescent="0.35">
      <c r="A5" t="s">
        <v>63</v>
      </c>
      <c r="D5" s="3">
        <f t="shared" ca="1" si="0"/>
        <v>0</v>
      </c>
      <c r="E5" t="s">
        <v>69</v>
      </c>
    </row>
    <row r="6" spans="1:6" x14ac:dyDescent="0.35">
      <c r="A6" t="s">
        <v>64</v>
      </c>
      <c r="D6" s="3">
        <f t="shared" ca="1" si="0"/>
        <v>0</v>
      </c>
      <c r="E6" t="s">
        <v>68</v>
      </c>
    </row>
    <row r="7" spans="1:6" x14ac:dyDescent="0.35">
      <c r="A7" t="s">
        <v>65</v>
      </c>
      <c r="D7" s="3">
        <f t="shared" ca="1" si="0"/>
        <v>0</v>
      </c>
      <c r="E7" t="s">
        <v>68</v>
      </c>
    </row>
    <row r="8" spans="1:6" x14ac:dyDescent="0.35">
      <c r="A8" t="s">
        <v>66</v>
      </c>
      <c r="D8" s="3">
        <f t="shared" ca="1" si="0"/>
        <v>0</v>
      </c>
      <c r="E8" t="s">
        <v>69</v>
      </c>
    </row>
    <row r="9" spans="1:6" x14ac:dyDescent="0.35">
      <c r="A9" t="s">
        <v>67</v>
      </c>
      <c r="D9" s="3">
        <f t="shared" ca="1" si="0"/>
        <v>0</v>
      </c>
    </row>
    <row r="10" spans="1:6" x14ac:dyDescent="0.35">
      <c r="D10" s="3">
        <f t="shared" ca="1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5" x14ac:dyDescent="0.35"/>
  <cols>
    <col min="1" max="1" width="34.7265625" customWidth="1"/>
    <col min="2" max="2" width="18.7265625" style="3" customWidth="1"/>
    <col min="3" max="3" width="40.7265625" customWidth="1"/>
  </cols>
  <sheetData>
    <row r="1" spans="1:3" x14ac:dyDescent="0.35">
      <c r="A1" s="2" t="s">
        <v>71</v>
      </c>
      <c r="B1" s="2" t="s">
        <v>49</v>
      </c>
      <c r="C1" s="2" t="s">
        <v>4</v>
      </c>
    </row>
    <row r="2" spans="1:3" x14ac:dyDescent="0.35">
      <c r="A2" t="s">
        <v>72</v>
      </c>
    </row>
    <row r="3" spans="1:3" x14ac:dyDescent="0.35">
      <c r="A3" t="s">
        <v>73</v>
      </c>
    </row>
    <row r="4" spans="1:3" x14ac:dyDescent="0.35">
      <c r="A4" t="s">
        <v>74</v>
      </c>
    </row>
    <row r="5" spans="1:3" x14ac:dyDescent="0.35">
      <c r="A5" t="s">
        <v>75</v>
      </c>
    </row>
    <row r="6" spans="1:3" x14ac:dyDescent="0.35">
      <c r="A6" t="s">
        <v>76</v>
      </c>
      <c r="B6" s="3">
        <f>IFERROR(B2+B3-B4+B5,"")</f>
        <v>0</v>
      </c>
      <c r="C6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.5" x14ac:dyDescent="0.35"/>
  <cols>
    <col min="1" max="1" width="28.7265625" customWidth="1"/>
    <col min="2" max="2" width="26.7265625" style="5" customWidth="1"/>
    <col min="3" max="3" width="60.7265625" style="4" customWidth="1"/>
  </cols>
  <sheetData>
    <row r="1" spans="1:3" x14ac:dyDescent="0.35">
      <c r="A1" s="2" t="s">
        <v>78</v>
      </c>
      <c r="B1" s="2" t="s">
        <v>0</v>
      </c>
      <c r="C1" s="2" t="s">
        <v>79</v>
      </c>
    </row>
    <row r="2" spans="1:3" x14ac:dyDescent="0.35">
      <c r="A2" t="s">
        <v>80</v>
      </c>
      <c r="B2" s="5" t="str">
        <f>IFERROR(Schedule_L!D2/( 'P&amp;L'!B1/365 ),"")</f>
        <v/>
      </c>
      <c r="C2" s="4" t="s">
        <v>92</v>
      </c>
    </row>
    <row r="3" spans="1:3" x14ac:dyDescent="0.35">
      <c r="A3" t="s">
        <v>81</v>
      </c>
      <c r="B3" s="5" t="str">
        <f>IFERROR(Schedule_L!D9/( ABS('P&amp;L'!B2)/365 ),"")</f>
        <v/>
      </c>
      <c r="C3" s="4" t="s">
        <v>93</v>
      </c>
    </row>
    <row r="4" spans="1:3" x14ac:dyDescent="0.35">
      <c r="A4" t="s">
        <v>82</v>
      </c>
      <c r="B4" s="5" t="str">
        <f>IFERROR(Schedule_L!D3/( ABS('P&amp;L'!B2)/365 ),"")</f>
        <v/>
      </c>
      <c r="C4" s="4" t="s">
        <v>94</v>
      </c>
    </row>
    <row r="5" spans="1:3" x14ac:dyDescent="0.35">
      <c r="A5" t="s">
        <v>83</v>
      </c>
      <c r="B5" s="5" t="e">
        <f>Schedule_L!D1+Schedule_L!D2+Schedule_L!D3+Schedule_L!D4</f>
        <v>#VALUE!</v>
      </c>
      <c r="C5" s="4" t="s">
        <v>95</v>
      </c>
    </row>
    <row r="6" spans="1:3" x14ac:dyDescent="0.35">
      <c r="A6" t="s">
        <v>84</v>
      </c>
      <c r="B6" s="5">
        <f>Schedule_L!D9+Schedule_L!D10+Schedule_L!D11</f>
        <v>0</v>
      </c>
      <c r="C6" s="4" t="s">
        <v>96</v>
      </c>
    </row>
    <row r="7" spans="1:3" x14ac:dyDescent="0.35">
      <c r="A7" t="s">
        <v>85</v>
      </c>
      <c r="B7" s="5" t="str">
        <f>IFERROR(B4/B5,"")</f>
        <v/>
      </c>
      <c r="C7" s="4" t="s">
        <v>97</v>
      </c>
    </row>
    <row r="8" spans="1:3" x14ac:dyDescent="0.35">
      <c r="A8" t="s">
        <v>86</v>
      </c>
      <c r="B8" s="5" t="str">
        <f>IFERROR( (Schedule_L!D1+Schedule_L!D2) / B5,"")</f>
        <v/>
      </c>
      <c r="C8" s="4" t="s">
        <v>98</v>
      </c>
    </row>
    <row r="9" spans="1:3" x14ac:dyDescent="0.35">
      <c r="A9" t="s">
        <v>87</v>
      </c>
      <c r="B9" s="5" t="str">
        <f>IFERROR( (Schedule_L!D11+Schedule_L!D12+Schedule_L!D14) / Schedule_L!D16,"")</f>
        <v/>
      </c>
      <c r="C9" s="4" t="s">
        <v>99</v>
      </c>
    </row>
    <row r="10" spans="1:3" x14ac:dyDescent="0.35">
      <c r="A10" t="s">
        <v>88</v>
      </c>
      <c r="B10" s="5" t="e">
        <f>B4-B5</f>
        <v>#VALUE!</v>
      </c>
      <c r="C10" s="4" t="s">
        <v>100</v>
      </c>
    </row>
    <row r="11" spans="1:3" x14ac:dyDescent="0.35">
      <c r="A11" t="s">
        <v>89</v>
      </c>
      <c r="B11" s="6"/>
      <c r="C11" s="4" t="s">
        <v>101</v>
      </c>
    </row>
    <row r="12" spans="1:3" x14ac:dyDescent="0.35">
      <c r="A12" t="s">
        <v>90</v>
      </c>
      <c r="B12" s="5">
        <f>IFERROR( (ABS('P&amp;L'!B3)+'P&amp;L'!B4)/12,"")</f>
        <v>0</v>
      </c>
      <c r="C12" s="4" t="s">
        <v>102</v>
      </c>
    </row>
    <row r="13" spans="1:3" x14ac:dyDescent="0.35">
      <c r="A13" t="s">
        <v>91</v>
      </c>
      <c r="B13" s="5" t="str">
        <f>IFERROR( Schedule_L!D1 / B11,"")</f>
        <v/>
      </c>
      <c r="C13" s="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defaultRowHeight="14.5" x14ac:dyDescent="0.35"/>
  <cols>
    <col min="1" max="1" width="20.7265625" customWidth="1"/>
    <col min="2" max="2" width="28.7265625" customWidth="1"/>
    <col min="3" max="3" width="34.7265625" customWidth="1"/>
    <col min="4" max="4" width="16.7265625" customWidth="1"/>
    <col min="5" max="5" width="14.7265625" style="7" customWidth="1"/>
    <col min="6" max="6" width="16.7265625" style="3" customWidth="1"/>
    <col min="7" max="7" width="14.7265625" customWidth="1"/>
  </cols>
  <sheetData>
    <row r="1" spans="1:7" x14ac:dyDescent="0.35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</row>
    <row r="2" spans="1:7" x14ac:dyDescent="0.35">
      <c r="A2" t="s">
        <v>111</v>
      </c>
      <c r="B2" t="s">
        <v>117</v>
      </c>
      <c r="C2" t="s">
        <v>123</v>
      </c>
      <c r="G2" t="s">
        <v>129</v>
      </c>
    </row>
    <row r="3" spans="1:7" x14ac:dyDescent="0.35">
      <c r="A3" t="s">
        <v>112</v>
      </c>
      <c r="B3" t="s">
        <v>118</v>
      </c>
      <c r="C3" t="s">
        <v>124</v>
      </c>
      <c r="G3" t="s">
        <v>129</v>
      </c>
    </row>
    <row r="4" spans="1:7" x14ac:dyDescent="0.35">
      <c r="A4" t="s">
        <v>113</v>
      </c>
      <c r="B4" t="s">
        <v>119</v>
      </c>
      <c r="C4" t="s">
        <v>125</v>
      </c>
      <c r="G4" t="s">
        <v>129</v>
      </c>
    </row>
    <row r="5" spans="1:7" x14ac:dyDescent="0.35">
      <c r="A5" t="s">
        <v>114</v>
      </c>
      <c r="B5" t="s">
        <v>120</v>
      </c>
      <c r="C5" t="s">
        <v>126</v>
      </c>
      <c r="G5" t="s">
        <v>129</v>
      </c>
    </row>
    <row r="6" spans="1:7" x14ac:dyDescent="0.35">
      <c r="A6" t="s">
        <v>115</v>
      </c>
      <c r="B6" t="s">
        <v>121</v>
      </c>
      <c r="C6" t="s">
        <v>127</v>
      </c>
      <c r="G6" t="s">
        <v>129</v>
      </c>
    </row>
    <row r="7" spans="1:7" x14ac:dyDescent="0.35">
      <c r="A7" t="s">
        <v>116</v>
      </c>
      <c r="B7" t="s">
        <v>122</v>
      </c>
      <c r="C7" t="s">
        <v>128</v>
      </c>
      <c r="G7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4.5" x14ac:dyDescent="0.35"/>
  <cols>
    <col min="1" max="1" width="36.7265625" customWidth="1"/>
    <col min="2" max="2" width="14.7265625" style="7" customWidth="1"/>
    <col min="3" max="3" width="22.7265625" customWidth="1"/>
    <col min="4" max="4" width="60.7265625" style="4" customWidth="1"/>
  </cols>
  <sheetData>
    <row r="1" spans="1:4" x14ac:dyDescent="0.35">
      <c r="A1" s="2" t="s">
        <v>130</v>
      </c>
      <c r="B1" s="2" t="s">
        <v>108</v>
      </c>
      <c r="C1" s="2" t="s">
        <v>131</v>
      </c>
      <c r="D1" s="2" t="s">
        <v>4</v>
      </c>
    </row>
    <row r="2" spans="1:4" x14ac:dyDescent="0.35">
      <c r="A2" t="s">
        <v>132</v>
      </c>
      <c r="C2" t="s">
        <v>137</v>
      </c>
      <c r="D2" s="4" t="s">
        <v>142</v>
      </c>
    </row>
    <row r="3" spans="1:4" x14ac:dyDescent="0.35">
      <c r="A3" t="s">
        <v>133</v>
      </c>
      <c r="C3" t="s">
        <v>138</v>
      </c>
      <c r="D3" s="4" t="s">
        <v>143</v>
      </c>
    </row>
    <row r="4" spans="1:4" x14ac:dyDescent="0.35">
      <c r="A4" t="s">
        <v>134</v>
      </c>
      <c r="C4" t="s">
        <v>139</v>
      </c>
      <c r="D4" s="4" t="s">
        <v>144</v>
      </c>
    </row>
    <row r="5" spans="1:4" x14ac:dyDescent="0.35">
      <c r="A5" t="s">
        <v>135</v>
      </c>
      <c r="C5" t="s">
        <v>140</v>
      </c>
      <c r="D5" s="4" t="s">
        <v>145</v>
      </c>
    </row>
    <row r="6" spans="1:4" x14ac:dyDescent="0.35">
      <c r="A6" t="s">
        <v>136</v>
      </c>
      <c r="C6" t="s">
        <v>141</v>
      </c>
      <c r="D6" s="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Schedule_L</vt:lpstr>
      <vt:lpstr>P&amp;L</vt:lpstr>
      <vt:lpstr>M1_Recon</vt:lpstr>
      <vt:lpstr>M2_RE</vt:lpstr>
      <vt:lpstr>Financial_Ratios</vt:lpstr>
      <vt:lpstr>Optimization_Tracker</vt:lpstr>
      <vt:lpstr>Action_Calendar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Yim Tsang</cp:lastModifiedBy>
  <dcterms:created xsi:type="dcterms:W3CDTF">2025-10-15T12:01:27Z</dcterms:created>
  <dcterms:modified xsi:type="dcterms:W3CDTF">2025-10-16T02:49:33Z</dcterms:modified>
</cp:coreProperties>
</file>